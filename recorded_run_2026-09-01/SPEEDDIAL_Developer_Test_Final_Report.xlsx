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700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un A" sheetId="2" state="visible" r:id="rId2"/>
    <sheet xmlns:r="http://schemas.openxmlformats.org/officeDocument/2006/relationships" name="Run B" sheetId="3" state="visible" r:id="rId3"/>
    <sheet xmlns:r="http://schemas.openxmlformats.org/officeDocument/2006/relationships" name="Run C" sheetId="4" state="visible" r:id="rId4"/>
    <sheet xmlns:r="http://schemas.openxmlformats.org/officeDocument/2006/relationships" name="Run D" sheetId="5" state="visible" r:id="rId5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Calibri"/>
      <family val="2"/>
      <sz val="10"/>
    </font>
    <font>
      <name val="Cambria"/>
      <family val="1"/>
      <b val="1"/>
      <color rgb="FFFFFFFF"/>
      <sz val="16"/>
    </font>
    <font>
      <name val="Cambria"/>
      <family val="1"/>
      <b val="1"/>
      <color rgb="FFFFFFFF"/>
      <sz val="11"/>
    </font>
    <font>
      <name val="Calibri"/>
      <family val="2"/>
      <color theme="0"/>
      <sz val="10"/>
    </font>
    <font>
      <name val="Calibri"/>
      <family val="2"/>
      <color theme="0"/>
      <sz val="11"/>
    </font>
    <font>
      <b val="1"/>
      <color rgb="00B00020"/>
    </font>
  </fonts>
  <fills count="6">
    <fill>
      <patternFill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2F75B5"/>
        <bgColor rgb="FF4F81BD"/>
      </patternFill>
    </fill>
    <fill>
      <patternFill patternType="solid">
        <fgColor rgb="FFF4CCCC"/>
        <bgColor rgb="FFD9D9D9"/>
      </patternFill>
    </fill>
    <fill>
      <patternFill patternType="solid">
        <fgColor rgb="FFE2F0D9"/>
        <bgColor rgb="FFD9D9D9"/>
      </patternFill>
    </fill>
  </fills>
  <borders count="7">
    <border>
      <left/>
      <right/>
      <top/>
      <bottom/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 style="thin">
        <color theme="0" tint="-0.1499984740745262"/>
      </left>
      <right/>
      <top style="thin">
        <color theme="0" tint="-0.1499984740745262"/>
      </top>
      <bottom style="thin">
        <color theme="0" tint="-0.1499984740745262"/>
      </bottom>
      <diagonal/>
    </border>
    <border>
      <left/>
      <right/>
      <top style="thin">
        <color theme="0" tint="-0.1499984740745262"/>
      </top>
      <bottom style="thin">
        <color theme="0" tint="-0.1499984740745262"/>
      </bottom>
      <diagonal/>
    </border>
    <border>
      <left/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/>
      <right/>
      <top style="thin">
        <color theme="0" tint="-0.1499984740745262"/>
      </top>
      <bottom/>
      <diagonal/>
    </border>
    <border>
      <left/>
      <right style="thin">
        <color theme="0" tint="-0.1499984740745262"/>
      </right>
      <top style="thin">
        <color theme="0" tint="-0.1499984740745262"/>
      </top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CCCC"/>
      <rgbColor rgb="FF2F75B5"/>
      <rgbColor rgb="FF33CCCC"/>
      <rgbColor rgb="FF99CC00"/>
      <rgbColor rgb="FFFFCC00"/>
      <rgbColor rgb="FFFF9900"/>
      <rgbColor rgb="FFFF6600"/>
      <rgbColor rgb="FF4F81BD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showGridLines="0" tabSelected="1" zoomScaleNormal="100" workbookViewId="0">
      <pane ySplit="5" topLeftCell="A6" activePane="bottomLeft" state="frozen"/>
      <selection pane="bottomLeft" activeCell="J10" sqref="J10"/>
    </sheetView>
  </sheetViews>
  <sheetFormatPr baseColWidth="8" defaultColWidth="8.7109375" defaultRowHeight="15" customHeight="1"/>
  <cols>
    <col width="18" customWidth="1" min="1" max="1"/>
    <col width="30" customWidth="1" min="2" max="2"/>
    <col width="19" customWidth="1" min="3" max="4"/>
    <col width="25" customWidth="1" min="5" max="5"/>
    <col width="14" customWidth="1" min="6" max="6"/>
    <col width="12" customWidth="1" min="7" max="7"/>
    <col width="42" customWidth="1" min="8" max="8"/>
  </cols>
  <sheetData>
    <row r="1" ht="27.75" customFormat="1" customHeight="1" s="5">
      <c r="A1" s="14" t="inlineStr">
        <is>
          <t>SPEEDDIAL / interpretDB Developer Test — Final Report</t>
        </is>
      </c>
    </row>
    <row r="2" ht="15" customHeight="1">
      <c r="A2" s="19" t="n"/>
      <c r="B2" s="19" t="n"/>
      <c r="C2" s="19" t="n"/>
      <c r="D2" s="19" t="n"/>
      <c r="E2" s="19" t="n"/>
      <c r="F2" s="19" t="n"/>
      <c r="G2" s="19" t="n"/>
      <c r="H2" s="19" t="n"/>
    </row>
    <row r="3" ht="15" customHeight="1">
      <c r="A3" s="3" t="inlineStr">
        <is>
          <t>Database</t>
        </is>
      </c>
      <c r="B3" s="3" t="inlineStr">
        <is>
          <t>speeddial</t>
        </is>
      </c>
      <c r="C3" s="19" t="n"/>
      <c r="D3" s="3" t="inlineStr">
        <is>
          <t>MCP Server</t>
        </is>
      </c>
      <c r="E3" s="3" t="inlineStr">
        <is>
          <t>speeddial-hazmat</t>
        </is>
      </c>
      <c r="F3" s="19" t="n"/>
      <c r="G3" s="3" t="inlineStr">
        <is>
          <t>Report Date</t>
        </is>
      </c>
      <c r="H3" s="3" t="inlineStr">
        <is>
          <t>2026-09-01</t>
        </is>
      </c>
    </row>
    <row r="4" ht="15" customHeight="1">
      <c r="A4" s="19" t="n"/>
      <c r="B4" s="19" t="n"/>
      <c r="C4" s="19" t="n"/>
      <c r="D4" s="19" t="n"/>
      <c r="E4" s="19" t="n"/>
      <c r="F4" s="19" t="n"/>
      <c r="G4" s="19" t="n"/>
      <c r="H4" s="19" t="n"/>
    </row>
    <row r="5" ht="21.75" customHeight="1">
      <c r="A5" s="13" t="inlineStr">
        <is>
          <t>Outcome Summary</t>
        </is>
      </c>
    </row>
    <row r="6" ht="30" customHeight="1">
      <c r="A6" s="13" t="inlineStr">
        <is>
          <t>Run</t>
        </is>
      </c>
      <c r="B6" s="13" t="inlineStr">
        <is>
          <t>Purpose</t>
        </is>
      </c>
      <c r="C6" s="13" t="inlineStr">
        <is>
          <t>Q1</t>
        </is>
      </c>
      <c r="D6" s="13" t="inlineStr">
        <is>
          <t>Q2</t>
        </is>
      </c>
      <c r="E6" s="13" t="inlineStr">
        <is>
          <t>Q3</t>
        </is>
      </c>
      <c r="F6" s="13" t="inlineStr">
        <is>
          <t>Correct / Total</t>
        </is>
      </c>
      <c r="G6" s="13" t="inlineStr">
        <is>
          <t>Pass Rate</t>
        </is>
      </c>
      <c r="H6" s="13" t="inlineStr">
        <is>
          <t>Conclusion</t>
        </is>
      </c>
    </row>
    <row r="7" ht="15" customHeight="1">
      <c r="A7" s="12" t="inlineStr">
        <is>
          <t>Run A</t>
        </is>
      </c>
      <c r="B7" s="12" t="inlineStr">
        <is>
          <t>Raw LLM baseline</t>
        </is>
      </c>
      <c r="C7" s="12" t="inlineStr">
        <is>
          <t>SQL error</t>
        </is>
      </c>
      <c r="D7" s="12" t="inlineStr">
        <is>
          <t>3</t>
        </is>
      </c>
      <c r="E7" s="12" t="inlineStr">
        <is>
          <t>SQL error</t>
        </is>
      </c>
      <c r="F7" s="8" t="n">
        <v>0</v>
      </c>
      <c r="G7" s="11">
        <f>F7/3</f>
        <v/>
      </c>
      <c r="H7" s="12" t="inlineStr">
        <is>
          <t>Baseline failed all 3 business checks.</t>
        </is>
      </c>
    </row>
    <row r="8" ht="15" customHeight="1">
      <c r="A8" s="12" t="inlineStr">
        <is>
          <t>Run B</t>
        </is>
      </c>
      <c r="B8" s="12" t="inlineStr">
        <is>
          <t>interpretDB + MCP baseline; Context Core OFF</t>
        </is>
      </c>
      <c r="C8" s="12" t="inlineStr">
        <is>
          <t>$672,000</t>
        </is>
      </c>
      <c r="D8" s="12" t="inlineStr">
        <is>
          <t>3 states</t>
        </is>
      </c>
      <c r="E8" s="12" t="inlineStr">
        <is>
          <t>0 / no recorded orders</t>
        </is>
      </c>
      <c r="F8" s="8" t="n">
        <v>0</v>
      </c>
      <c r="G8" s="11">
        <f>F8/3</f>
        <v/>
      </c>
      <c r="H8" s="12" t="inlineStr">
        <is>
          <t>Executable/verified outputs, but 0/3 business-correct.</t>
        </is>
      </c>
    </row>
    <row r="9" ht="27.75" customHeight="1">
      <c r="A9" s="12" t="inlineStr">
        <is>
          <t>Run C</t>
        </is>
      </c>
      <c r="B9" s="12" t="inlineStr">
        <is>
          <t>User-designated Context Core configured run</t>
        </is>
      </c>
      <c r="C9" s="12" t="inlineStr">
        <is>
          <t>$537,600</t>
        </is>
      </c>
      <c r="D9" s="12" t="inlineStr">
        <is>
          <t>1 state</t>
        </is>
      </c>
      <c r="E9" s="12" t="inlineStr">
        <is>
          <t>Refuse / insufficient</t>
        </is>
      </c>
      <c r="F9" s="9" t="n">
        <v>3</v>
      </c>
      <c r="G9" s="11">
        <f>F9/3</f>
        <v/>
      </c>
      <c r="H9" s="12" t="inlineStr">
        <is>
          <t>Context rules produced 3/3 correct business outcomes.</t>
        </is>
      </c>
    </row>
    <row r="10" ht="27.75" customHeight="1">
      <c r="A10" s="12" t="inlineStr">
        <is>
          <t>Run D</t>
        </is>
      </c>
      <c r="B10" s="12" t="inlineStr">
        <is>
          <t>Rated-path memory / repeated-query validation</t>
        </is>
      </c>
      <c r="C10" s="12" t="inlineStr">
        <is>
          <t>$537,600</t>
        </is>
      </c>
      <c r="D10" s="12" t="inlineStr">
        <is>
          <t>1 state</t>
        </is>
      </c>
      <c r="E10" s="12" t="inlineStr">
        <is>
          <t>Refuse / insufficient</t>
        </is>
      </c>
      <c r="F10" s="9" t="n">
        <v>3</v>
      </c>
      <c r="G10" s="11">
        <f>F10/3</f>
        <v/>
      </c>
      <c r="H10" s="12" t="inlineStr">
        <is>
          <t>3/3 business outcomes remained correct after rated-path memory was enabled.</t>
        </is>
      </c>
    </row>
    <row r="11" ht="15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</row>
    <row r="12" ht="21.75" customHeight="1">
      <c r="A12" s="13" t="inlineStr">
        <is>
          <t>Key Findings</t>
        </is>
      </c>
    </row>
    <row r="13" ht="15" customHeight="1">
      <c r="A13" s="12" t="inlineStr">
        <is>
          <t>1. Raw LLM baseline failed because it treated FY text values as integers and counted raw state spellings as distinct business states.</t>
        </is>
      </c>
      <c r="B13" s="21" t="n"/>
      <c r="C13" s="21" t="n"/>
      <c r="D13" s="21" t="n"/>
      <c r="E13" s="21" t="n"/>
      <c r="F13" s="21" t="n"/>
      <c r="G13" s="21" t="n"/>
      <c r="H13" s="22" t="n"/>
    </row>
    <row r="14" ht="15" customHeight="1">
      <c r="A14" s="12" t="inlineStr">
        <is>
          <t>2. Context Core rules corrected duplicate transaction handling, ORDER semantics, state normalization, and the distinction between missing facts and zero.</t>
        </is>
      </c>
      <c r="B14" s="21" t="n"/>
      <c r="C14" s="21" t="n"/>
      <c r="D14" s="21" t="n"/>
      <c r="E14" s="21" t="n"/>
      <c r="F14" s="21" t="n"/>
      <c r="G14" s="21" t="n"/>
      <c r="H14" s="22" t="n"/>
    </row>
    <row r="15" ht="15" customHeight="1">
      <c r="A15" s="12" t="inlineStr">
        <is>
          <t>Run progression: Run A raw LLM = 0/3; Run B interpretDB baseline/context off = 0/3; Run C Context Core/on with memory empty = 3/3; Run D rated-path memory = 3/3.</t>
        </is>
      </c>
      <c r="B15" s="21" t="n"/>
      <c r="C15" s="21" t="n"/>
      <c r="D15" s="21" t="n"/>
      <c r="E15" s="21" t="n"/>
      <c r="F15" s="21" t="n"/>
      <c r="G15" s="21" t="n"/>
      <c r="H15" s="22" t="n"/>
    </row>
    <row r="16" ht="27.75" customHeight="1">
      <c r="A16" s="12" t="inlineStr">
        <is>
          <t>Run C shows that explicit business/data semantics corrected duplicate handling, state normalization, and missing-coverage behavior.</t>
        </is>
      </c>
      <c r="B16" s="21" t="n"/>
      <c r="C16" s="21" t="n"/>
      <c r="D16" s="21" t="n"/>
      <c r="E16" s="21" t="n"/>
      <c r="F16" s="21" t="n"/>
      <c r="G16" s="21" t="n"/>
      <c r="H16" s="22" t="n"/>
    </row>
    <row r="17" ht="15" customHeight="1">
      <c r="A17" s="12" t="inlineStr">
        <is>
          <t>Run D preserved 3/3 correctness after positive ratings stored preferred paths in memory.</t>
        </is>
      </c>
      <c r="B17" s="21" t="n"/>
      <c r="C17" s="21" t="n"/>
      <c r="D17" s="21" t="n"/>
      <c r="E17" s="21" t="n"/>
      <c r="F17" s="21" t="n"/>
      <c r="G17" s="21" t="n"/>
      <c r="H17" s="22" t="n"/>
    </row>
    <row r="18" ht="15" customHeight="1">
      <c r="A18" s="23" t="inlineStr">
        <is>
          <t>Limitation: Run D re-used the same questions, so it validates memory/path reuse but not transfer to unseen query/database families.</t>
        </is>
      </c>
      <c r="B18" s="21" t="n"/>
      <c r="C18" s="21" t="n"/>
      <c r="D18" s="21" t="n"/>
      <c r="E18" s="21" t="n"/>
      <c r="F18" s="21" t="n"/>
      <c r="G18" s="21" t="n"/>
      <c r="H18" s="22" t="n"/>
    </row>
    <row r="19" ht="21.75" customHeight="1">
      <c r="A19" s="13" t="inlineStr">
        <is>
          <t>Final Business Answer Key</t>
        </is>
      </c>
    </row>
    <row r="20" ht="30" customHeight="1">
      <c r="A20" s="13" t="inlineStr">
        <is>
          <t>Question</t>
        </is>
      </c>
      <c r="B20" s="13" t="inlineStr">
        <is>
          <t>Expected / Correct</t>
        </is>
      </c>
      <c r="C20" s="13" t="inlineStr">
        <is>
          <t>Run B (context OFF)</t>
        </is>
      </c>
      <c r="D20" s="13" t="inlineStr">
        <is>
          <t>Run D (context ON + memory)</t>
        </is>
      </c>
      <c r="E20" s="13" t="inlineStr">
        <is>
          <t>Final Status</t>
        </is>
      </c>
      <c r="F20" s="19" t="n"/>
      <c r="G20" s="19" t="n"/>
      <c r="H20" s="19" t="n"/>
    </row>
    <row r="21" ht="15" customHeight="1">
      <c r="A21" s="12" t="inlineStr">
        <is>
          <t>What did we spend ordering the chromate primer (NSN 8010-01-555-1234) across FY24 to FY26?</t>
        </is>
      </c>
      <c r="B21" s="12" t="inlineStr">
        <is>
          <t>$537,600.00</t>
        </is>
      </c>
      <c r="C21" s="24" t="inlineStr">
        <is>
          <t>$672,000.00</t>
        </is>
      </c>
      <c r="D21" s="12" t="inlineStr">
        <is>
          <t>$537,600.00</t>
        </is>
      </c>
      <c r="E21" s="9" t="inlineStr">
        <is>
          <t>PASS</t>
        </is>
      </c>
      <c r="F21" s="19" t="n"/>
      <c r="G21" s="19" t="n"/>
      <c r="H21" s="19" t="n"/>
    </row>
    <row r="22" ht="15" customHeight="1">
      <c r="A22" s="12" t="inlineStr">
        <is>
          <t>How many distinct states do the shops sit in?</t>
        </is>
      </c>
      <c r="B22" s="12" t="inlineStr">
        <is>
          <t>1 state</t>
        </is>
      </c>
      <c r="C22" s="24" t="inlineStr">
        <is>
          <t>3 states</t>
        </is>
      </c>
      <c r="D22" s="12" t="inlineStr">
        <is>
          <t>1 state</t>
        </is>
      </c>
      <c r="E22" s="9" t="inlineStr">
        <is>
          <t>PASS</t>
        </is>
      </c>
      <c r="F22" s="19" t="n"/>
      <c r="G22" s="19" t="n"/>
      <c r="H22" s="19" t="n"/>
    </row>
    <row r="23" ht="27.75" customHeight="1">
      <c r="A23" s="12" t="inlineStr">
        <is>
          <t>How much primer did the Fuel Cell shop order in FY26?</t>
        </is>
      </c>
      <c r="B23" s="12" t="inlineStr">
        <is>
          <t>Refuse / insufficient data</t>
        </is>
      </c>
      <c r="C23" s="24" t="inlineStr">
        <is>
          <t>0 / no recorded orders</t>
        </is>
      </c>
      <c r="D23" s="12" t="inlineStr">
        <is>
          <t>Refuse / insufficient data</t>
        </is>
      </c>
      <c r="E23" s="9" t="inlineStr">
        <is>
          <t>PASS</t>
        </is>
      </c>
      <c r="F23" s="19" t="n"/>
      <c r="G23" s="19" t="n"/>
      <c r="H23" s="19" t="n"/>
    </row>
  </sheetData>
  <mergeCells count="10">
    <mergeCell ref="A12:H12"/>
    <mergeCell ref="A18:H18"/>
    <mergeCell ref="A1:H1"/>
    <mergeCell ref="A15:H15"/>
    <mergeCell ref="A16:H16"/>
    <mergeCell ref="A19:H19"/>
    <mergeCell ref="A13:H13"/>
    <mergeCell ref="A14:H14"/>
    <mergeCell ref="A5:H5"/>
    <mergeCell ref="A17:H17"/>
  </mergeCells>
  <pageMargins left="0.3" right="0.3" top="0.5" bottom="0.5" header="0.511811023622047" footer="0.511811023622047"/>
  <pageSetup orientation="portrait" fitToHeight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zoomScaleNormal="100" workbookViewId="0">
      <pane ySplit="5" topLeftCell="A6" activePane="bottomLeft" state="frozen"/>
      <selection pane="bottomLeft" activeCell="B6" sqref="B6"/>
    </sheetView>
  </sheetViews>
  <sheetFormatPr baseColWidth="8" defaultColWidth="8.7109375" defaultRowHeight="15" customHeight="1"/>
  <cols>
    <col width="26.85546875" customWidth="1" min="1" max="1"/>
    <col width="31" customWidth="1" min="2" max="2"/>
    <col width="24" customWidth="1" min="3" max="3"/>
    <col width="22" customWidth="1" min="4" max="4"/>
    <col width="55" customWidth="1" min="5" max="6"/>
    <col width="14" customWidth="1" min="7" max="10"/>
    <col width="16" customWidth="1" min="11" max="11"/>
  </cols>
  <sheetData>
    <row r="1" ht="27.75" customHeight="1">
      <c r="A1" s="18" t="inlineStr">
        <is>
          <t>Run A — Raw LLM Baseline</t>
        </is>
      </c>
    </row>
    <row r="2" ht="15" customHeight="1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</row>
    <row r="3" ht="15" customHeight="1">
      <c r="A3" s="19" t="inlineStr">
        <is>
          <t>Configuration: schema + one question only. No interpretDB, Context Core, validation, or memory. Generated SQL was executed manually in DBeaver without repair/retry.</t>
        </is>
      </c>
    </row>
    <row r="4" ht="15" customHeight="1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</row>
    <row r="5" ht="30" customHeight="1">
      <c r="A5" s="4" t="inlineStr">
        <is>
          <t>Question</t>
        </is>
      </c>
      <c r="B5" s="4" t="inlineStr">
        <is>
          <t>Observed Result</t>
        </is>
      </c>
      <c r="C5" s="4" t="inlineStr">
        <is>
          <t>Expected</t>
        </is>
      </c>
      <c r="D5" s="4" t="inlineStr">
        <is>
          <t>Status</t>
        </is>
      </c>
      <c r="E5" s="4" t="inlineStr">
        <is>
          <t>Generated SQL</t>
        </is>
      </c>
      <c r="F5" s="4" t="inlineStr">
        <is>
          <t>Error / Observation</t>
        </is>
      </c>
      <c r="G5" s="4" t="inlineStr">
        <is>
          <t>Latency (ms)</t>
        </is>
      </c>
      <c r="H5" s="4" t="inlineStr">
        <is>
          <t>Input Tokens</t>
        </is>
      </c>
      <c r="I5" s="4" t="inlineStr">
        <is>
          <t>Output Tokens</t>
        </is>
      </c>
      <c r="J5" s="4" t="inlineStr">
        <is>
          <t>Total Tokens</t>
        </is>
      </c>
      <c r="K5" s="4" t="inlineStr">
        <is>
          <t>Cache-read Tokens</t>
        </is>
      </c>
    </row>
    <row r="6" ht="122.25" customFormat="1" customHeight="1" s="6">
      <c r="A6" s="12" t="inlineStr">
        <is>
          <t>I am given a PostgreSQL schema. Write one SQL query that answers the
question. Return only SQL.
TABLES
  materials_hmid(hmid_id, nsn, material_name, cas, manufacturer,
                 mfr_state, shelf_life_months, uom, hazard_class)
  shops(shop_id, shop_name, bldg, substitute_authorized_per_TO, state)
  supply_transactions(supply_id, fy, date, nsn, action, qty, unit_cost, shop_id)
  disposal_dtid(dtid, fy, date, nsn, qty, reason, writeoff_usd, disposal_cost_usd)
QUESTION
What did we spend ordering the chromate primer
(NSN 8010-01-555-1234) across FY24 to FY26?</t>
        </is>
      </c>
      <c r="B6" s="12" t="inlineStr">
        <is>
          <t>SQL ERROR [42883]: operator does not exist: text &gt;= integer</t>
        </is>
      </c>
      <c r="C6" s="12" t="inlineStr">
        <is>
          <t>$537,600.00</t>
        </is>
      </c>
      <c r="D6" s="8" t="inlineStr">
        <is>
          <t>FAIL — execution error</t>
        </is>
      </c>
      <c r="E6" s="12" t="inlineStr">
        <is>
          <t>SELECT
    SUM(qty * unit_cost) AS total_spent_chromate_primer_fy24_to_fy26
FROM
    supply_transactions
WHERE
    nsn = '8010-01-__PII_0__'
    AND fy BETWEEN 2024 AND 2026
    AND action = 'ORDER';</t>
        </is>
      </c>
      <c r="F6" s="12" t="inlineStr">
        <is>
          <t>fy is TEXT (values like 'FY24'), but the raw LLM compared it to integers using BETWEEN 2024 AND 2026. Per test rules, do not fix or retry; the error is the Run A result.</t>
        </is>
      </c>
      <c r="G6" s="12" t="n">
        <v>19383</v>
      </c>
      <c r="H6" s="12" t="n">
        <v>35459</v>
      </c>
      <c r="I6" s="12" t="n">
        <v>232</v>
      </c>
      <c r="J6" s="12" t="n">
        <v>35691</v>
      </c>
      <c r="K6" s="12" t="n">
        <v>0</v>
      </c>
    </row>
    <row r="7" ht="101.1" customFormat="1" customHeight="1" s="6">
      <c r="A7" s="12" t="inlineStr">
        <is>
          <t>I am given a PostgreSQL schema. Write one SQL query that answers the question. Return only SQL.
TABLES
  materials_hmid(hmid_id, nsn, material_name, cas, manufacturer,
                 mfr_state, shelf_life_months, uom, hazard_class)
  shops(shop_id, shop_name, bldg, substitute_authorized_per_TO, state)
  supply_transactions(supply_id, fy, date, nsn, action, qty, unit_cost, shop_id)
  disposal_dtid(dtid, fy, date, nsn, qty, reason, writeoff_usd, disposal_cost_usd)
QUESTION
How many distinct states do the shops sit in?</t>
        </is>
      </c>
      <c r="B7" s="12" t="n">
        <v>3</v>
      </c>
      <c r="C7" s="12" t="inlineStr">
        <is>
          <t>1 state</t>
        </is>
      </c>
      <c r="D7" s="8" t="inlineStr">
        <is>
          <t>FAIL — wrong business answer</t>
        </is>
      </c>
      <c r="E7" s="12" t="inlineStr">
        <is>
          <t>SELECT COUNT(DISTINCT state) AS distinct_state_count
FROM shops;</t>
        </is>
      </c>
      <c r="F7" s="12" t="inlineStr">
        <is>
          <t>SQL executed successfully, but it counted raw spellings (CA / California / Calif.) as separate states.</t>
        </is>
      </c>
      <c r="G7" s="12" t="n">
        <v>11293</v>
      </c>
      <c r="H7" s="12" t="n">
        <v>35354</v>
      </c>
      <c r="I7" s="12" t="n">
        <v>40</v>
      </c>
      <c r="J7" s="12" t="n">
        <v>35394</v>
      </c>
      <c r="K7" s="12" t="n">
        <v>32000</v>
      </c>
    </row>
    <row r="8" ht="122.25" customFormat="1" customHeight="1" s="6">
      <c r="A8" s="12" t="inlineStr">
        <is>
          <t>I'm given a PostgreSQL schema. Write one SQL query that answers the question. Return only SQL.
TABLES
  materials_hmid(hmid_id, nsn, material_name, cas, manufacturer,
                 mfr_state, shelf_life_months, uom, hazard_class)
  shops(shop_id, shop_name, bldg, substitute_authorized_per_TO, state)
  supply_transactions(supply_id, fy, date, nsn, action, qty, unit_cost, shop_id)
  disposal_dtid(dtid, fy, date, nsn, qty, reason, writeoff_usd, disposal_cost_usd)
QUESTION
How much primer did the Fuel Cell shop order in FY26?</t>
        </is>
      </c>
      <c r="B8" s="12" t="inlineStr">
        <is>
          <t>SQL ERROR [42883]: operator does not exist: text = integer</t>
        </is>
      </c>
      <c r="C8" s="12" t="inlineStr">
        <is>
          <t>Refuse / insufficient data</t>
        </is>
      </c>
      <c r="D8" s="8" t="inlineStr">
        <is>
          <t>FAIL — execution error</t>
        </is>
      </c>
      <c r="E8" s="12" t="inlineStr">
        <is>
          <t>SELECT COALESCE(SUM(st.qty), 0) AS total_primer_ordered_fy26
FROM supply_transactions st
JOIN shops s ON st.shop_id = s.shop_id
JOIN materials_hmid m ON st.nsn = m.nsn
WHERE s.shop_name = 'Fuel Cell'
  AND m.material_name ILIKE '%primer%'
  AND st.fy = 26
  AND st.action = 'ORDER';</t>
        </is>
      </c>
      <c r="F8" s="12" t="inlineStr">
        <is>
          <t>fy is TEXT, but raw LLM compared st.fy to integer 26. Per test rules, do not correct/retry. Even if fixed, the developer test expects refusal for missing coverage rather than zero.</t>
        </is>
      </c>
      <c r="G8" s="12" t="n">
        <v>17662</v>
      </c>
      <c r="H8" s="12" t="n">
        <v>35383</v>
      </c>
      <c r="I8" s="12" t="n">
        <v>192</v>
      </c>
      <c r="J8" s="12" t="n">
        <v>35575</v>
      </c>
      <c r="K8" s="12" t="n">
        <v>32000</v>
      </c>
    </row>
  </sheetData>
  <mergeCells count="2">
    <mergeCell ref="A1:K1"/>
    <mergeCell ref="A3:K3"/>
  </mergeCells>
  <pageMargins left="0.3" right="0.3" top="0.5" bottom="0.5" header="0.511811023622047" footer="0.511811023622047"/>
  <pageSetup orientation="portrait" fitToHeight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showGridLines="0" zoomScaleNormal="100" workbookViewId="0">
      <pane ySplit="5" topLeftCell="A6" activePane="bottomLeft" state="frozen"/>
      <selection pane="bottomLeft" activeCell="B6" sqref="B6:B8"/>
    </sheetView>
  </sheetViews>
  <sheetFormatPr baseColWidth="8" defaultColWidth="8.7109375" defaultRowHeight="15" customHeight="1"/>
  <cols>
    <col width="12" customWidth="1" min="1" max="1"/>
    <col width="48" customWidth="1" min="2" max="2"/>
    <col width="24" customWidth="1" min="3" max="4"/>
    <col width="12" customWidth="1" min="5" max="5"/>
    <col width="62" customWidth="1" min="6" max="7"/>
    <col width="55" customWidth="1" min="8" max="8"/>
    <col width="14" customWidth="1" min="9" max="9"/>
    <col width="10" customWidth="1" min="10" max="10"/>
    <col width="14" customWidth="1" min="11" max="14"/>
  </cols>
  <sheetData>
    <row r="1" ht="24" customHeight="1">
      <c r="A1" s="20" t="inlineStr">
        <is>
          <t>Run B — interpretDB Baseline (Context Off)</t>
        </is>
      </c>
    </row>
    <row r="2" ht="15" customHeight="1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</row>
    <row r="3" ht="15" customHeight="1">
      <c r="A3" s="19" t="inlineStr">
        <is>
          <t>Configuration: interpretDB connected to speeddial-hazmat MCP before Context Core corrections. Results are preserved exactly as observed; no manual correction was applied.</t>
        </is>
      </c>
    </row>
    <row r="4" ht="15" customHeight="1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</row>
    <row r="5" ht="30" customHeight="1">
      <c r="A5" s="4" t="inlineStr">
        <is>
          <t>Question</t>
        </is>
      </c>
      <c r="B5" s="4" t="inlineStr">
        <is>
          <t>Prompt</t>
        </is>
      </c>
      <c r="C5" s="4" t="inlineStr">
        <is>
          <t>Observed Result</t>
        </is>
      </c>
      <c r="D5" s="4" t="inlineStr">
        <is>
          <t>Expected</t>
        </is>
      </c>
      <c r="E5" s="4" t="inlineStr">
        <is>
          <t>Status</t>
        </is>
      </c>
      <c r="F5" s="4" t="inlineStr">
        <is>
          <t>SQL Attempt 1</t>
        </is>
      </c>
      <c r="G5" s="4" t="inlineStr">
        <is>
          <t>Final / Corrected SQL</t>
        </is>
      </c>
      <c r="H5" s="4" t="inlineStr">
        <is>
          <t>Notes</t>
        </is>
      </c>
      <c r="I5" s="4" t="inlineStr">
        <is>
          <t>Verification</t>
        </is>
      </c>
      <c r="J5" s="4" t="inlineStr">
        <is>
          <t>Score</t>
        </is>
      </c>
      <c r="K5" s="4" t="inlineStr">
        <is>
          <t>Latency (ms)</t>
        </is>
      </c>
      <c r="L5" s="4" t="inlineStr">
        <is>
          <t>Input Tokens</t>
        </is>
      </c>
      <c r="M5" s="4" t="inlineStr">
        <is>
          <t>Output Tokens</t>
        </is>
      </c>
      <c r="N5" s="4" t="inlineStr">
        <is>
          <t>Total Tokens</t>
        </is>
      </c>
    </row>
    <row r="6" ht="189" customFormat="1" customHeight="1" s="6">
      <c r="A6" s="12" t="inlineStr">
        <is>
          <t>Q1</t>
        </is>
      </c>
      <c r="B6" s="12" t="inlineStr">
        <is>
          <t>What did we spend ordering the chromate primer (NSN 8010-01-555-1234) across FY24 to FY26?</t>
        </is>
      </c>
      <c r="C6" s="12" t="inlineStr">
        <is>
          <t>$672,000.00</t>
        </is>
      </c>
      <c r="D6" s="12" t="inlineStr">
        <is>
          <t>$537,600.00</t>
        </is>
      </c>
      <c r="E6" s="8" t="inlineStr">
        <is>
          <t>FAIL</t>
        </is>
      </c>
      <c r="F6" s="12" t="inlineStr">
        <is>
          <t>SELECT fy, SUM(qty * unit_cost) AS total_spend_usd FROM speeddial.public.supply_transactions WHERE nsn = '8010-01-__PII_0__' AND fy IN ('FY24','FY25','FY26') GROUP BY fy ORDER BY fy;</t>
        </is>
      </c>
      <c r="G6" s="12" t="n"/>
      <c r="H6" s="12" t="inlineStr">
        <is>
          <t>Executed successfully but double-counted duplicate supply_id postings. Returned 224,000 per FY and 672,000 total.</t>
        </is>
      </c>
      <c r="I6" s="12" t="inlineStr">
        <is>
          <t>verified</t>
        </is>
      </c>
      <c r="J6" s="10" t="n">
        <v>0.98</v>
      </c>
      <c r="K6" s="12" t="n">
        <v>53194</v>
      </c>
      <c r="L6" s="12" t="n">
        <v>282362</v>
      </c>
      <c r="M6" s="12" t="n">
        <v>1256</v>
      </c>
      <c r="N6" s="12" t="n">
        <v>283618</v>
      </c>
    </row>
    <row r="7" ht="68.25" customFormat="1" customHeight="1" s="6">
      <c r="A7" s="12" t="inlineStr">
        <is>
          <t>Q2</t>
        </is>
      </c>
      <c r="B7" s="12" t="inlineStr">
        <is>
          <t>How many distinct states do the shops sit in?</t>
        </is>
      </c>
      <c r="C7" s="12" t="inlineStr">
        <is>
          <t>3 states</t>
        </is>
      </c>
      <c r="D7" s="12" t="inlineStr">
        <is>
          <t>1 state</t>
        </is>
      </c>
      <c r="E7" s="8" t="inlineStr">
        <is>
          <t>FAIL</t>
        </is>
      </c>
      <c r="F7" s="12" t="inlineStr">
        <is>
          <t>SELECT COUNT(DISTINCT state) AS distinct_state_count FROM speeddial.public.shops</t>
        </is>
      </c>
      <c r="G7" s="12" t="n"/>
      <c r="H7" s="12" t="inlineStr">
        <is>
          <t>Executed successfully but treated CA, Calif., and California as three distinct text values.</t>
        </is>
      </c>
      <c r="I7" s="12" t="inlineStr">
        <is>
          <t>verified</t>
        </is>
      </c>
      <c r="J7" s="10" t="n">
        <v>0.97</v>
      </c>
      <c r="K7" s="12" t="n">
        <v>49909</v>
      </c>
      <c r="L7" s="12" t="n">
        <v>295621</v>
      </c>
      <c r="M7" s="12" t="n">
        <v>1108</v>
      </c>
      <c r="N7" s="12" t="n">
        <v>296729</v>
      </c>
    </row>
    <row r="8" ht="108.75" customFormat="1" customHeight="1" s="6">
      <c r="A8" s="12" t="inlineStr">
        <is>
          <t>Q3</t>
        </is>
      </c>
      <c r="B8" s="12" t="inlineStr">
        <is>
          <t>How much primer did the Fuel Cell shop order in FY26?</t>
        </is>
      </c>
      <c r="C8" s="12" t="inlineStr">
        <is>
          <t>0 units / no recorded orders</t>
        </is>
      </c>
      <c r="D8" s="12" t="inlineStr">
        <is>
          <t>Refuse / insufficient data</t>
        </is>
      </c>
      <c r="E8" s="8" t="inlineStr">
        <is>
          <t>FAIL</t>
        </is>
      </c>
      <c r="F8" s="12" t="inlineStr">
        <is>
          <t>SELECT COALESCE(SUM(st.qty), 0) AS total_primer_units
FROM public.supply_transactions st
JOIN public.materials_hmid mh ON st.nsn = mh.nsn
JOIN public.shops s ON st.shop_id = s.shop_id
WHERE st.fy = 'FY26'
  AND LOWER(s.shop_name) = 'fuel cell'
  AND LOWER(mh.material_name) LIKE '%primer%'
  AND st.action = 'receipt';</t>
        </is>
      </c>
      <c r="G8" s="12" t="n"/>
      <c r="H8" s="12" t="inlineStr">
        <is>
          <t>Returned 0 by using receipt and COALESCE. This incorrectly converted missing matching transaction coverage into a factual zero.</t>
        </is>
      </c>
      <c r="I8" s="12" t="inlineStr">
        <is>
          <t>verified</t>
        </is>
      </c>
      <c r="J8" s="10" t="n">
        <v>0.98</v>
      </c>
      <c r="K8" s="12" t="n">
        <v>61769</v>
      </c>
      <c r="L8" s="12" t="n">
        <v>431244</v>
      </c>
      <c r="M8" s="12" t="n">
        <v>1892</v>
      </c>
      <c r="N8" s="12" t="n">
        <v>433136</v>
      </c>
    </row>
    <row r="9" ht="15" customHeight="1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</row>
    <row r="10" ht="15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</row>
    <row r="11" ht="15" customHeight="1">
      <c r="A11" s="19" t="n"/>
    </row>
    <row r="12" ht="15" customHeight="1">
      <c r="A12" s="19" t="n"/>
    </row>
    <row r="13" ht="15" customHeight="1">
      <c r="A13" s="19" t="n"/>
    </row>
  </sheetData>
  <mergeCells count="1">
    <mergeCell ref="A1:N1"/>
  </mergeCells>
  <pageMargins left="0.3" right="0.3" top="0.5" bottom="0.5" header="0.511811023622047" footer="0.511811023622047"/>
  <pageSetup orientation="portrait" fitToHeight="0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22"/>
  <sheetViews>
    <sheetView showGridLines="0" zoomScaleNormal="100" workbookViewId="0">
      <pane ySplit="5" topLeftCell="A6" activePane="bottomLeft" state="frozen"/>
      <selection pane="bottomLeft" activeCell="C8" sqref="C8"/>
    </sheetView>
  </sheetViews>
  <sheetFormatPr baseColWidth="8" defaultColWidth="8.7109375" defaultRowHeight="15" customHeight="1"/>
  <cols>
    <col width="12" customWidth="1" min="1" max="1"/>
    <col width="48" customWidth="1" min="2" max="2"/>
    <col width="24" customWidth="1" min="3" max="4"/>
    <col width="12" customWidth="1" min="5" max="5"/>
    <col width="62" customWidth="1" min="6" max="7"/>
    <col width="55" customWidth="1" min="8" max="8"/>
    <col width="14" customWidth="1" min="9" max="9"/>
    <col width="10" customWidth="1" min="10" max="10"/>
    <col width="14" customWidth="1" min="11" max="14"/>
  </cols>
  <sheetData>
    <row r="1" ht="24" customHeight="1">
      <c r="A1" s="20" t="inlineStr">
        <is>
          <t>Run C — Context Core On, Memory Empty</t>
        </is>
      </c>
    </row>
    <row r="2" ht="15" customHeight="1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</row>
    <row r="3" ht="15" customHeight="1">
      <c r="A3" s="19" t="inlineStr">
        <is>
          <t>Configuration: interpretDB + speeddial-hazmat MCP with Context Core configured and rated-path memory not yet seeded. This is the context-only comparison stage.</t>
        </is>
      </c>
    </row>
    <row r="4" ht="15" customHeight="1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</row>
    <row r="5" ht="30" customHeight="1">
      <c r="A5" s="4" t="inlineStr">
        <is>
          <t>Question</t>
        </is>
      </c>
      <c r="B5" s="4" t="inlineStr">
        <is>
          <t>Prompt</t>
        </is>
      </c>
      <c r="C5" s="4" t="inlineStr">
        <is>
          <t>Observed Result</t>
        </is>
      </c>
      <c r="D5" s="4" t="inlineStr">
        <is>
          <t>Expected</t>
        </is>
      </c>
      <c r="E5" s="4" t="inlineStr">
        <is>
          <t>Status</t>
        </is>
      </c>
      <c r="F5" s="4" t="inlineStr">
        <is>
          <t>SQL Attempt 1</t>
        </is>
      </c>
      <c r="G5" s="4" t="inlineStr">
        <is>
          <t>Final / Corrected SQL</t>
        </is>
      </c>
      <c r="H5" s="4" t="inlineStr">
        <is>
          <t>Notes</t>
        </is>
      </c>
      <c r="I5" s="4" t="inlineStr">
        <is>
          <t>Verification</t>
        </is>
      </c>
      <c r="J5" s="4" t="inlineStr">
        <is>
          <t>Score</t>
        </is>
      </c>
      <c r="K5" s="4" t="inlineStr">
        <is>
          <t>Latency (ms)</t>
        </is>
      </c>
      <c r="L5" s="4" t="inlineStr">
        <is>
          <t>Input Tokens</t>
        </is>
      </c>
      <c r="M5" s="4" t="inlineStr">
        <is>
          <t>Output Tokens</t>
        </is>
      </c>
      <c r="N5" s="4" t="inlineStr">
        <is>
          <t>Total Tokens</t>
        </is>
      </c>
    </row>
    <row r="6" ht="189" customFormat="1" customHeight="1" s="6">
      <c r="A6" s="12" t="inlineStr">
        <is>
          <t>Q1</t>
        </is>
      </c>
      <c r="B6" s="12" t="inlineStr">
        <is>
          <t>What did we spend ordering the chromate primer (NSN 8010-01-555-1234) across FY24 to FY26?</t>
        </is>
      </c>
      <c r="C6" s="12" t="inlineStr">
        <is>
          <t>$537,600.00</t>
        </is>
      </c>
      <c r="D6" s="12" t="inlineStr">
        <is>
          <t>$537,600.00</t>
        </is>
      </c>
      <c r="E6" s="9" t="inlineStr">
        <is>
          <t>PASS</t>
        </is>
      </c>
      <c r="F6" s="12" t="inlineStr">
        <is>
          <t>SELECT SUM(qty * unit_cost) AS total_spend_usd
FROM (
  SELECT supply_id,
         fy,
         nsn,
         action,
         qty,
         unit_cost
  FROM speeddial.public.supply_transactions
  WHERE nsn = '8010-01-__PII_1__'
    AND action = 'ORDER'
    AND fy IN ('FY24','FY25','FY26')
  GROUP BY supply_id, fy, nsn, action, qty, unit_cost
) AS dedup;</t>
        </is>
      </c>
      <c r="G6" s="12" t="n"/>
      <c r="H6" s="12" t="inlineStr">
        <is>
          <t>Correct business result. The final response verifier remained unverified because of numeric-grounding/PII masking artifacts, even though the SQL result was 537600. Preserve this verifier nuance.</t>
        </is>
      </c>
      <c r="I6" s="12" t="inlineStr">
        <is>
          <t>unverified</t>
        </is>
      </c>
      <c r="J6" s="10" t="n">
        <v>0.285714285714286</v>
      </c>
      <c r="K6" s="12" t="n">
        <v>26164</v>
      </c>
      <c r="L6" s="12" t="n">
        <v>117386</v>
      </c>
      <c r="M6" s="12" t="n">
        <v>1012</v>
      </c>
      <c r="N6" s="12" t="n">
        <v>118398</v>
      </c>
    </row>
    <row r="7" ht="68.25" customFormat="1" customHeight="1" s="6">
      <c r="A7" s="12" t="inlineStr">
        <is>
          <t>Q2</t>
        </is>
      </c>
      <c r="B7" s="12" t="inlineStr">
        <is>
          <t>How many distinct states do the shops sit in?</t>
        </is>
      </c>
      <c r="C7" s="12" t="inlineStr">
        <is>
          <t>1 state</t>
        </is>
      </c>
      <c r="D7" s="12" t="inlineStr">
        <is>
          <t>1 state</t>
        </is>
      </c>
      <c r="E7" s="9" t="inlineStr">
        <is>
          <t>PASS</t>
        </is>
      </c>
      <c r="F7" s="12" t="inlineStr">
        <is>
          <t>SELECT COUNT(DISTINCT CASE 
  WHEN state IN ('CA', 'Calif.', 'California') THEN 'California'
  ELSE state
END) AS distinct_states
FROM speeddial.public.shops;</t>
        </is>
      </c>
      <c r="G7" s="12" t="n"/>
      <c r="H7" s="12" t="inlineStr">
        <is>
          <t>Correct after mandatory normalization of CA, Calif., and California to one canonical value before distinct counting.</t>
        </is>
      </c>
      <c r="I7" s="12" t="inlineStr">
        <is>
          <t>verified</t>
        </is>
      </c>
      <c r="J7" s="10" t="n">
        <v>0.98</v>
      </c>
      <c r="K7" s="12" t="n">
        <v>38250</v>
      </c>
      <c r="L7" s="12" t="n">
        <v>294223</v>
      </c>
      <c r="M7" s="12" t="n">
        <v>1096</v>
      </c>
      <c r="N7" s="12" t="n">
        <v>295319</v>
      </c>
    </row>
    <row r="8" ht="108.75" customFormat="1" customHeight="1" s="6">
      <c r="A8" s="12" t="inlineStr">
        <is>
          <t>Q3</t>
        </is>
      </c>
      <c r="B8" s="12" t="inlineStr">
        <is>
          <t>How much primer did the Fuel Cell shop order in FY26?</t>
        </is>
      </c>
      <c r="C8" s="12" t="inlineStr">
        <is>
          <t>Insufficient data / refuse to quantify</t>
        </is>
      </c>
      <c r="D8" s="12" t="inlineStr">
        <is>
          <t>Refuse / insufficient data</t>
        </is>
      </c>
      <c r="E8" s="9" t="inlineStr">
        <is>
          <t>PASS</t>
        </is>
      </c>
      <c r="F8" s="12" t="inlineStr">
        <is>
          <t>SELECT COALESCE(SUM(DISTINCT qty), 0) AS total_primer_qty
FROM speeddial.public.supply_transactions st
JOIN speeddial.public.materials_hmid mh ON st.nsn = mh.nsn
JOIN speeddial.public.shops s ON st.shop_id = s.shop_id
WHERE st.fy = 'FY26'
  AND LOWER(s.shop_name) LIKE '%fuel cell%'
  AND LOWER(mh.description) LIKE '%primer%'
  AND st.action = 'ORDER';</t>
        </is>
      </c>
      <c r="G8" s="12" t="inlineStr">
        <is>
          <t>SELECT SUM(qty) AS total_primer_qty
FROM speeddial.public.supply_transactions st
JOIN speeddial.public.materials_hmid mh ON st.nsn = mh.nsn
JOIN speeddial.public.shops s ON st.shop_id = s.shop_id
WHERE st.fy = 'FY26'
  AND LOWER(s.shop_name) LIKE '%fuel cell%'
  AND LOWER(mh.material_name) LIKE '%primer%'
  AND st.action = 'ORDER';</t>
        </is>
      </c>
      <c r="H8" s="12" t="inlineStr">
        <is>
          <t>Final SQL used material_name and returned NULL, so the answer correctly treated missing fact coverage as unknown rather than zero. Earlier SQL attempt used non-existent mh.description and COALESCE; corrected within the run.</t>
        </is>
      </c>
      <c r="I8" s="12" t="inlineStr">
        <is>
          <t>verified</t>
        </is>
      </c>
      <c r="J8" s="10" t="n">
        <v>0.9399999999999999</v>
      </c>
      <c r="K8" s="12" t="n">
        <v>128016</v>
      </c>
      <c r="L8" s="12" t="n">
        <v>389735</v>
      </c>
      <c r="M8" s="12" t="n">
        <v>1664</v>
      </c>
      <c r="N8" s="12" t="n">
        <v>391399</v>
      </c>
    </row>
    <row r="9" ht="15" customHeight="1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</row>
    <row r="10" ht="15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</row>
    <row r="11" ht="21.75" customHeight="1">
      <c r="A11" s="13" t="inlineStr">
        <is>
          <t>Context Core Rules Used</t>
        </is>
      </c>
    </row>
    <row r="12" ht="15" customHeight="1">
      <c r="A12" s="19" t="inlineStr">
        <is>
          <t>1. “ordered/ordering” =&gt; supply_transactions.action = 'ORDER'.</t>
        </is>
      </c>
    </row>
    <row r="13" ht="15" customHeight="1">
      <c r="A13" s="19" t="inlineStr">
        <is>
          <t>2. supply_id is transaction identity; deduplicate by supply_id before aggregation.</t>
        </is>
      </c>
    </row>
    <row r="14" ht="15" customHeight="1">
      <c r="A14" s="19" t="inlineStr">
        <is>
          <t>3. Spend = qty × unit_cost.</t>
        </is>
      </c>
    </row>
    <row r="15" ht="15" customHeight="1">
      <c r="A15" s="19" t="inlineStr">
        <is>
          <t>4. Normalize shops.state aliases: CA / Calif. / California =&gt; California before DISTINCT or GROUP BY.</t>
        </is>
      </c>
    </row>
    <row r="16" ht="15" customHeight="1">
      <c r="A16" s="19" t="inlineStr">
        <is>
          <t>5. Missing transaction rows do not mean zero; report insufficient data and do not COALESCE no-data to 0.</t>
        </is>
      </c>
    </row>
    <row r="17" ht="15" customHeight="1">
      <c r="A17" s="19" t="inlineStr">
        <is>
          <t>6. FY is text: FY24, FY25, FY26.</t>
        </is>
      </c>
    </row>
    <row r="18" ht="15" customHeight="1">
      <c r="A18" s="19" t="inlineStr">
        <is>
          <t>7. Join supply_transactions.nsn = materials_hmid.nsn and supply_transactions.shop_id = shops.shop_id.</t>
        </is>
      </c>
    </row>
    <row r="19" ht="15" customHeight="1">
      <c r="A19" s="19" t="inlineStr">
        <is>
          <t>8. Use materials_hmid.material_name for material description searches.</t>
        </is>
      </c>
    </row>
    <row r="21">
      <c r="A21" s="25" t="inlineStr">
        <is>
          <t>Q3 correction provenance — CONFIRM BEFORE RELEASE</t>
        </is>
      </c>
    </row>
    <row r="22">
      <c r="A22" t="inlineStr">
        <is>
          <t>The first Q3 query used a non-existent column (mh.description) with COALESCE; the run then issued a corrected query using materials_hmid.material_name, which returned NULL and produced the refusal. State explicitly whether that retry was platform-generated with no human SQL edit. If a person intervened, the B-to-C comparison changed context AND human intervention, and must be reported that way.</t>
        </is>
      </c>
    </row>
  </sheetData>
  <mergeCells count="11">
    <mergeCell ref="A17:N17"/>
    <mergeCell ref="A18:N18"/>
    <mergeCell ref="A3:N3"/>
    <mergeCell ref="A12:N12"/>
    <mergeCell ref="A16:N16"/>
    <mergeCell ref="A15:N15"/>
    <mergeCell ref="A19:N19"/>
    <mergeCell ref="A11:N11"/>
    <mergeCell ref="A13:N13"/>
    <mergeCell ref="A14:N14"/>
    <mergeCell ref="A1:N1"/>
  </mergeCells>
  <pageMargins left="0.3" right="0.3" top="0.5" bottom="0.5" header="0.511811023622047" footer="0.511811023622047"/>
  <pageSetup orientation="portrait" fitToHeight="0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15"/>
  <sheetViews>
    <sheetView showGridLines="0" zoomScaleNormal="100" workbookViewId="0">
      <pane ySplit="5" topLeftCell="A6" activePane="bottomLeft" state="frozen"/>
      <selection pane="bottomLeft" activeCell="C7" sqref="C7"/>
    </sheetView>
  </sheetViews>
  <sheetFormatPr baseColWidth="8" defaultColWidth="8.7109375" defaultRowHeight="15" customHeight="1"/>
  <cols>
    <col width="12" customWidth="1" min="1" max="1"/>
    <col width="48" customWidth="1" min="2" max="2"/>
    <col width="24" customWidth="1" min="3" max="4"/>
    <col width="12" customWidth="1" min="5" max="5"/>
    <col width="62" customWidth="1" min="6" max="6"/>
    <col width="25" customWidth="1" min="7" max="7"/>
    <col width="14" customWidth="1" min="8" max="8"/>
    <col width="10" customWidth="1" min="9" max="9"/>
    <col width="16" customWidth="1" min="10" max="14"/>
    <col width="18" customWidth="1" min="15" max="15"/>
  </cols>
  <sheetData>
    <row r="1" ht="27.75" customHeight="1">
      <c r="A1" s="18" t="inlineStr">
        <is>
          <t>Run D — Rated-Path Memory Validation</t>
        </is>
      </c>
    </row>
    <row r="2" ht="15" customHeight="1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</row>
    <row r="3" ht="15" customHeight="1">
      <c r="A3" s="19" t="inlineStr">
        <is>
          <t>Configuration: after correct answers were positively rated and stored in memory, the same three questions were re-asked. User confirms rated paths were available for preference/reuse.</t>
        </is>
      </c>
    </row>
    <row r="4" ht="15" customHeight="1">
      <c r="A4" s="19" t="n"/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</row>
    <row r="5" ht="30" customHeight="1">
      <c r="A5" s="4" t="inlineStr">
        <is>
          <t>Question</t>
        </is>
      </c>
      <c r="B5" s="4" t="inlineStr">
        <is>
          <t>Prompt</t>
        </is>
      </c>
      <c r="C5" s="4" t="inlineStr">
        <is>
          <t>Observed Result</t>
        </is>
      </c>
      <c r="D5" s="4" t="inlineStr">
        <is>
          <t>Expected</t>
        </is>
      </c>
      <c r="E5" s="4" t="inlineStr">
        <is>
          <t>Status</t>
        </is>
      </c>
      <c r="F5" s="4" t="inlineStr">
        <is>
          <t>SQL / Path Used</t>
        </is>
      </c>
      <c r="G5" s="4" t="inlineStr">
        <is>
          <t>DB Result</t>
        </is>
      </c>
      <c r="H5" s="4" t="inlineStr">
        <is>
          <t>Verification</t>
        </is>
      </c>
      <c r="I5" s="4" t="inlineStr">
        <is>
          <t>Score</t>
        </is>
      </c>
      <c r="J5" s="4" t="inlineStr">
        <is>
          <t>Verifier Attempts</t>
        </is>
      </c>
      <c r="K5" s="4" t="inlineStr">
        <is>
          <t>Latency (ms)</t>
        </is>
      </c>
      <c r="L5" s="4" t="inlineStr">
        <is>
          <t>Input Tokens</t>
        </is>
      </c>
      <c r="M5" s="4" t="inlineStr">
        <is>
          <t>Output Tokens</t>
        </is>
      </c>
      <c r="N5" s="4" t="inlineStr">
        <is>
          <t>Total Tokens</t>
        </is>
      </c>
      <c r="O5" s="4" t="inlineStr">
        <is>
          <t>Cache-read Tokens</t>
        </is>
      </c>
    </row>
    <row r="6" ht="135.75" customFormat="1" customHeight="1" s="6">
      <c r="A6" s="12" t="inlineStr">
        <is>
          <t>Q1</t>
        </is>
      </c>
      <c r="B6" s="12" t="inlineStr">
        <is>
          <t>What did we spend ordering the chromate primer (NSN 8010-01-555-1234) across FY24 to FY26?</t>
        </is>
      </c>
      <c r="C6" s="12" t="inlineStr">
        <is>
          <t>$537,600.00</t>
        </is>
      </c>
      <c r="D6" s="12" t="inlineStr">
        <is>
          <t>$537,600.00</t>
        </is>
      </c>
      <c r="E6" s="9" t="inlineStr">
        <is>
          <t>PASS</t>
        </is>
      </c>
      <c r="F6" s="12" t="inlineStr">
        <is>
          <t>SELECT SUM(spend) AS total_spend
FROM (
  SELECT supply_id,
         MAX(qty * unit_cost) AS spend
  FROM speeddial.public.supply_transactions
  WHERE nsn = '8010-01-__PII_0__'
    AND fy IN ('FY24','FY25','FY26')
    AND action = 'ORDER'
  GROUP BY supply_id
) t;</t>
        </is>
      </c>
      <c r="G6" s="12" t="inlineStr">
        <is>
          <t>[{"total_spend":537600}]</t>
        </is>
      </c>
      <c r="H6" s="12" t="inlineStr">
        <is>
          <t>unverified</t>
        </is>
      </c>
      <c r="I6" s="10" t="n">
        <v>0.4</v>
      </c>
      <c r="J6" s="12" t="n">
        <v>3</v>
      </c>
      <c r="K6" s="12" t="n">
        <v>48003</v>
      </c>
      <c r="L6" s="12" t="n">
        <v>284637</v>
      </c>
      <c r="M6" s="12" t="n">
        <v>1746</v>
      </c>
      <c r="N6" s="12" t="n">
        <v>286383</v>
      </c>
      <c r="O6" s="12" t="n">
        <v>207616</v>
      </c>
    </row>
    <row r="7" ht="95.25" customFormat="1" customHeight="1" s="6">
      <c r="A7" s="12" t="inlineStr">
        <is>
          <t>Q2</t>
        </is>
      </c>
      <c r="B7" s="12" t="inlineStr">
        <is>
          <t>How many distinct states do the shops sit in?</t>
        </is>
      </c>
      <c r="C7" s="12" t="inlineStr">
        <is>
          <t>1 state</t>
        </is>
      </c>
      <c r="D7" s="12" t="inlineStr">
        <is>
          <t>1 state</t>
        </is>
      </c>
      <c r="E7" s="9" t="inlineStr">
        <is>
          <t>PASS</t>
        </is>
      </c>
      <c r="F7" s="12" t="inlineStr">
        <is>
          <t>SELECT COUNT(DISTINCT CASE 
  WHEN state = 'CA' THEN 'California'
  WHEN state = 'Calif.' THEN 'California'
  WHEN state = 'California' THEN 'California'
  ELSE state
END) AS distinct_states
FROM speeddial.public.shops;</t>
        </is>
      </c>
      <c r="G7" s="12" t="inlineStr">
        <is>
          <t>[{"distinct_states":1}]</t>
        </is>
      </c>
      <c r="H7" s="12" t="inlineStr">
        <is>
          <t>verified</t>
        </is>
      </c>
      <c r="I7" s="10" t="n">
        <v>0.99</v>
      </c>
      <c r="J7" s="12" t="n">
        <v>1</v>
      </c>
      <c r="K7" s="12" t="n">
        <v>39350</v>
      </c>
      <c r="L7" s="12" t="n">
        <v>241446</v>
      </c>
      <c r="M7" s="12" t="n">
        <v>1141</v>
      </c>
      <c r="N7" s="12" t="n">
        <v>242587</v>
      </c>
      <c r="O7" s="12" t="n">
        <v>222848</v>
      </c>
    </row>
    <row r="8" ht="108.75" customFormat="1" customHeight="1" s="6">
      <c r="A8" s="12" t="inlineStr">
        <is>
          <t>Q3</t>
        </is>
      </c>
      <c r="B8" s="12" t="inlineStr">
        <is>
          <t>How much primer did the Fuel Cell shop order in FY26?</t>
        </is>
      </c>
      <c r="C8" s="12" t="inlineStr">
        <is>
          <t>Refuse / insufficient data</t>
        </is>
      </c>
      <c r="D8" s="12" t="inlineStr">
        <is>
          <t>Refuse / insufficient data</t>
        </is>
      </c>
      <c r="E8" s="9" t="inlineStr">
        <is>
          <t>PASS</t>
        </is>
      </c>
      <c r="F8" s="12" t="inlineStr">
        <is>
          <t>SELECT COUNT(*) AS row_count
FROM speeddial.public.supply_transactions st
JOIN speeddial.public.materials_hmid m ON st.nsn = m.nsn
JOIN speeddial.public.shops s ON st.shop_id = s.shop_id
WHERE st.action = 'ORDER'
  AND st.fy = 'FY26'
  AND s.shop_name ILIKE '%Fuel Cell%'
  AND m.material_name ILIKE '%primer%';</t>
        </is>
      </c>
      <c r="G8" s="12" t="inlineStr">
        <is>
          <t>[{"row_count":0}]</t>
        </is>
      </c>
      <c r="H8" s="12" t="inlineStr">
        <is>
          <t>verified</t>
        </is>
      </c>
      <c r="I8" s="10" t="n">
        <v>0.96</v>
      </c>
      <c r="J8" s="12" t="n">
        <v>2</v>
      </c>
      <c r="K8" s="12" t="n">
        <v>114577</v>
      </c>
      <c r="L8" s="12" t="n">
        <v>536524</v>
      </c>
      <c r="M8" s="12" t="n">
        <v>3507</v>
      </c>
      <c r="N8" s="12" t="n">
        <v>540031</v>
      </c>
      <c r="O8" s="12" t="n">
        <v>418688</v>
      </c>
    </row>
    <row r="9" ht="15" customHeight="1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</row>
    <row r="10" ht="15" customHeight="1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</row>
    <row r="11" ht="21.75" customHeight="1">
      <c r="A11" s="13" t="inlineStr">
        <is>
          <t>Run D Assessment</t>
        </is>
      </c>
    </row>
    <row r="12" ht="15" customHeight="1">
      <c r="A12" s="19" t="inlineStr">
        <is>
          <t>Business correctness: 3/3 expected outcomes were returned after rated-path memory was enabled.</t>
        </is>
      </c>
    </row>
    <row r="13" ht="15" customHeight="1">
      <c r="A13" s="19" t="inlineStr">
        <is>
          <t>Q1: returned $537,600 using ORDER filtering and transaction-level deduplication. Business answer PASS. Verifier status remained unverified (0.40) because of grounding/PII-number traceability artifacts, not because the SQL total was wrong.</t>
        </is>
      </c>
    </row>
    <row r="14" ht="15" customHeight="1">
      <c r="A14" s="19" t="inlineStr">
        <is>
          <t>Q2: returned 1 state using explicit normalization of CA / Calif. / California. Verified score 0.99.</t>
        </is>
      </c>
    </row>
    <row r="15" ht="15" customHeight="1">
      <c r="A15" s="19" t="inlineStr">
        <is>
          <t>Q3: performed an existence check, found 0 matching rows, and refused to convert missing coverage into a numeric zero. Verified score 0.96.</t>
        </is>
      </c>
    </row>
  </sheetData>
  <mergeCells count="7">
    <mergeCell ref="A15:O15"/>
    <mergeCell ref="A12:O12"/>
    <mergeCell ref="A13:O13"/>
    <mergeCell ref="A14:O14"/>
    <mergeCell ref="A11:O11"/>
    <mergeCell ref="A1:O1"/>
    <mergeCell ref="A3:O3"/>
  </mergeCells>
  <pageMargins left="0.3" right="0.3" top="0.5" bottom="0.5" header="0.511811023622047" footer="0.511811023622047"/>
  <pageSetup orientation="portrait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2026-09-01T10:22:06Z</dcterms:created>
  <dcterms:modified xmlns:dcterms="http://purl.org/dc/terms/" xmlns:xsi="http://www.w3.org/2001/XMLSchema-instance" xsi:type="dcterms:W3CDTF">2026-09-01T11:46:35Z</dcterms:modified>
  <cp:lastModifiedBy>Praveen Chinnasamy</cp:lastModifiedBy>
</cp:coreProperties>
</file>